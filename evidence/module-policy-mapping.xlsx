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ule 1 Mapping" sheetId="2" state="visible" r:id="rId2"/>
    <sheet xmlns:r="http://schemas.openxmlformats.org/officeDocument/2006/relationships" name="Module 2 Mapping" sheetId="3" state="visible" r:id="rId3"/>
    <sheet xmlns:r="http://schemas.openxmlformats.org/officeDocument/2006/relationships" name="Module 3 Mapping" sheetId="4" state="visible" r:id="rId4"/>
    <sheet xmlns:r="http://schemas.openxmlformats.org/officeDocument/2006/relationships" name="CPS Coverage Matrix" sheetId="5" state="visible" r:id="rId5"/>
    <sheet xmlns:r="http://schemas.openxmlformats.org/officeDocument/2006/relationships" name="Evid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4F6F9"/>
        <bgColor rgb="00F4F6F9"/>
      </patternFill>
    </fill>
    <fill>
      <patternFill patternType="solid">
        <fgColor rgb="00009B9E"/>
        <bgColor rgb="00009B9E"/>
      </patternFill>
    </fill>
    <fill>
      <patternFill patternType="solid">
        <fgColor rgb="00E8ECF4"/>
        <bgColor rgb="00E8ECF4"/>
      </patternFill>
    </fill>
    <fill>
      <patternFill patternType="solid">
        <fgColor rgb="00E1F5EE"/>
        <bgColor rgb="00E1F5EE"/>
      </patternFill>
    </fill>
    <fill>
      <patternFill patternType="solid">
        <fgColor rgb="00FBEEE8"/>
        <bgColor rgb="00FBEEE8"/>
      </patternFill>
    </fill>
  </fills>
  <borders count="2">
    <border>
      <left/>
      <right/>
      <top/>
      <bottom/>
      <diagonal/>
    </border>
    <border>
      <left style="thin">
        <color rgb="00DDE1E8"/>
      </left>
      <right style="thin">
        <color rgb="00DDE1E8"/>
      </right>
      <top style="thin">
        <color rgb="00DDE1E8"/>
      </top>
      <bottom style="thin">
        <color rgb="00DDE1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top"/>
    </xf>
    <xf numFmtId="0" fontId="5" fillId="4" borderId="0" applyAlignment="1" pivotButton="0" quotePrefix="0" xfId="0">
      <alignment horizontal="left" vertical="top"/>
    </xf>
    <xf numFmtId="0" fontId="6" fillId="5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top"/>
    </xf>
    <xf numFmtId="0" fontId="8" fillId="2" borderId="0" applyAlignment="1" pivotButton="0" quotePrefix="0" xfId="0">
      <alignment horizontal="center" vertical="top"/>
    </xf>
    <xf numFmtId="0" fontId="9" fillId="4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KeyInvest Risk Learning — Module to Policy &amp; CPS Mapping</t>
        </is>
      </c>
    </row>
    <row r="2" ht="22" customHeight="1">
      <c r="A2" s="2" t="inlineStr">
        <is>
          <t>Audit-ready traceability between learning modules, KeyInvest policies, and APRA prudential standards</t>
        </is>
      </c>
    </row>
    <row r="3" ht="14" customHeight="1"/>
    <row r="4">
      <c r="A4" s="3" t="inlineStr">
        <is>
          <t>Document classification</t>
        </is>
      </c>
      <c r="B4" s="4" t="inlineStr">
        <is>
          <t>Internal</t>
        </is>
      </c>
    </row>
    <row r="5">
      <c r="A5" s="3" t="inlineStr">
        <is>
          <t>Owner</t>
        </is>
      </c>
      <c r="B5" s="4" t="inlineStr">
        <is>
          <t>Risk &amp; Compliance Team</t>
        </is>
      </c>
    </row>
    <row r="6">
      <c r="A6" s="3" t="inlineStr">
        <is>
          <t>Status</t>
        </is>
      </c>
      <c r="B6" s="4" t="inlineStr">
        <is>
          <t>In effect</t>
        </is>
      </c>
    </row>
    <row r="7">
      <c r="A7" s="3" t="inlineStr">
        <is>
          <t>Aligned to</t>
        </is>
      </c>
      <c r="B7" s="4" t="inlineStr">
        <is>
          <t>ERMS (Board-approved June 2025) and all dependent policies</t>
        </is>
      </c>
    </row>
    <row r="8">
      <c r="A8" s="3" t="inlineStr">
        <is>
          <t>Approver</t>
        </is>
      </c>
      <c r="B8" s="4" t="inlineStr">
        <is>
          <t>Chief Risk Officer</t>
        </is>
      </c>
    </row>
    <row r="9">
      <c r="A9" s="3" t="inlineStr">
        <is>
          <t>Review cycle</t>
        </is>
      </c>
      <c r="B9" s="4" t="inlineStr">
        <is>
          <t>Annually, or upon material policy or regulatory change</t>
        </is>
      </c>
    </row>
    <row r="10">
      <c r="A10" s="3" t="inlineStr">
        <is>
          <t>Last updated</t>
        </is>
      </c>
      <c r="B10" s="4" t="inlineStr">
        <is>
          <t>November 2025</t>
        </is>
      </c>
    </row>
    <row r="11" ht="14" customHeight="1"/>
    <row r="12" ht="24" customHeight="1">
      <c r="A12" s="5" t="inlineStr">
        <is>
          <t>Workbook contents</t>
        </is>
      </c>
    </row>
    <row r="13" ht="22" customHeight="1">
      <c r="A13" s="6" t="inlineStr">
        <is>
          <t>Sheet</t>
        </is>
      </c>
      <c r="B13" s="6" t="inlineStr">
        <is>
          <t>Purpose</t>
        </is>
      </c>
    </row>
    <row r="14" ht="28" customHeight="1">
      <c r="A14" s="7" t="inlineStr">
        <is>
          <t>Overview</t>
        </is>
      </c>
      <c r="B14" s="7" t="inlineStr">
        <is>
          <t>This sheet — document metadata and workbook directory</t>
        </is>
      </c>
    </row>
    <row r="15" ht="28" customHeight="1">
      <c r="A15" s="7" t="inlineStr">
        <is>
          <t>Module 1 Mapping</t>
        </is>
      </c>
      <c r="B15" s="7" t="inlineStr">
        <is>
          <t>Module 1 (Understanding Risk) — learning outcomes mapped to KeyInvest policies and CPS clauses</t>
        </is>
      </c>
    </row>
    <row r="16" ht="28" customHeight="1">
      <c r="A16" s="7" t="inlineStr">
        <is>
          <t>Module 2 Mapping</t>
        </is>
      </c>
      <c r="B16" s="7" t="inlineStr">
        <is>
          <t>Module 2 (Incident Management) — learning outcomes mapped to KeyInvest policies and CPS clauses</t>
        </is>
      </c>
    </row>
    <row r="17" ht="28" customHeight="1">
      <c r="A17" s="7" t="inlineStr">
        <is>
          <t>Module 3 Mapping</t>
        </is>
      </c>
      <c r="B17" s="7" t="inlineStr">
        <is>
          <t>Module 3 (Issue Management) — learning outcomes mapped to KeyInvest policies and CPS clauses [in development]</t>
        </is>
      </c>
    </row>
    <row r="18" ht="28" customHeight="1">
      <c r="A18" s="7" t="inlineStr">
        <is>
          <t>CPS Coverage Matrix</t>
        </is>
      </c>
      <c r="B18" s="7" t="inlineStr">
        <is>
          <t>Reverse view — which CPS clauses are covered by which modules</t>
        </is>
      </c>
    </row>
    <row r="19" ht="28" customHeight="1">
      <c r="A19" s="7" t="inlineStr">
        <is>
          <t>Evidence Map</t>
        </is>
      </c>
      <c r="B19" s="7" t="inlineStr">
        <is>
          <t>What each module evidences for APRA / KIT 3.1 / Internal Audit</t>
        </is>
      </c>
    </row>
  </sheetData>
  <mergeCells count="10">
    <mergeCell ref="A2:F2"/>
    <mergeCell ref="B16:F16"/>
    <mergeCell ref="B15:F15"/>
    <mergeCell ref="A1:F1"/>
    <mergeCell ref="B19:F19"/>
    <mergeCell ref="A12:F1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32" customWidth="1" min="3" max="3"/>
    <col width="22" customWidth="1" min="4" max="4"/>
    <col width="32" customWidth="1" min="5" max="5"/>
  </cols>
  <sheetData>
    <row r="1" ht="30" customHeight="1">
      <c r="A1" s="8" t="inlineStr">
        <is>
          <t>Module 1 — Understanding Risk at KeyInvest</t>
        </is>
      </c>
    </row>
    <row r="2" ht="20" customHeight="1">
      <c r="A2" s="9" t="inlineStr">
        <is>
          <t>Learning outcomes mapped to KeyInvest policies and APRA CPS standards</t>
        </is>
      </c>
    </row>
    <row r="3" ht="10" customHeight="1"/>
    <row r="4" ht="32" customHeight="1">
      <c r="A4" s="10" t="inlineStr">
        <is>
          <t>Learning Outcome</t>
        </is>
      </c>
      <c r="B4" s="10" t="inlineStr">
        <is>
          <t>Module Section</t>
        </is>
      </c>
      <c r="C4" s="10" t="inlineStr">
        <is>
          <t>KeyInvest Policy / Procedure</t>
        </is>
      </c>
      <c r="D4" s="10" t="inlineStr">
        <is>
          <t>CPS Alignment</t>
        </is>
      </c>
      <c r="E4" s="10" t="inlineStr">
        <is>
          <t>Evidence Captured</t>
        </is>
      </c>
    </row>
    <row r="5" ht="64" customHeight="1">
      <c r="A5" s="11" t="inlineStr">
        <is>
          <t>Understand that risk management at KeyInvest exists to serve and protect Customers and Members</t>
        </is>
      </c>
      <c r="B5" s="11" t="inlineStr">
        <is>
          <t>Section 1 — Foundation</t>
        </is>
      </c>
      <c r="C5" s="11" t="inlineStr">
        <is>
          <t>ERMS Section 1.ii — Customers and Members' Interests and risk/reward trade-off</t>
        </is>
      </c>
      <c r="D5" s="11" t="inlineStr">
        <is>
          <t>CPS 220 — clause requiring risk frameworks to align with strategic objectives</t>
        </is>
      </c>
      <c r="E5" s="11" t="inlineStr">
        <is>
          <t>Module completion with declaration; quiz feedback reinforces Customer-and-Member framing</t>
        </is>
      </c>
    </row>
    <row r="6" ht="64" customHeight="1">
      <c r="A6" s="11" t="inlineStr">
        <is>
          <t>Identify the three material risk categories (Strategic, Financial, Operational) and their sub-risks</t>
        </is>
      </c>
      <c r="B6" s="11" t="inlineStr">
        <is>
          <t>Section 1 — Foundation</t>
        </is>
      </c>
      <c r="C6" s="11" t="inlineStr">
        <is>
          <t>ERMS Section 1.iii — Material risk categories; Appendix A — Risk Taxonomy</t>
        </is>
      </c>
      <c r="D6" s="11" t="inlineStr">
        <is>
          <t>CPS 220 — risk taxonomy completeness; CPS 230 — operational risk subset</t>
        </is>
      </c>
      <c r="E6" s="11" t="inlineStr">
        <is>
          <t>Quiz scoring (Q1) tests recognition of material risk categories in context</t>
        </is>
      </c>
    </row>
    <row r="7" ht="64" customHeight="1">
      <c r="A7" s="11" t="inlineStr">
        <is>
          <t>Recognise that risk appetite is Board-approved and defines acceptable risk exposure</t>
        </is>
      </c>
      <c r="B7" s="11" t="inlineStr">
        <is>
          <t>Section 1 — Foundation; Q1 scenario</t>
        </is>
      </c>
      <c r="C7" s="11" t="inlineStr">
        <is>
          <t>ERMS Section 4 — Risk Capacity &amp; Appetite; Risk Appetite Statement (RAS)</t>
        </is>
      </c>
      <c r="D7" s="11" t="inlineStr">
        <is>
          <t>CPS 220 — risk appetite framework requirement</t>
        </is>
      </c>
      <c r="E7" s="11" t="inlineStr">
        <is>
          <t>Q1 scenario (helpful shortcut) tests behavioural response to operating outside appetite</t>
        </is>
      </c>
    </row>
    <row r="8" ht="64" customHeight="1">
      <c r="A8" s="11" t="inlineStr">
        <is>
          <t>Operating outside appetite requires escalation and approval through proper channels</t>
        </is>
      </c>
      <c r="B8" s="11" t="inlineStr">
        <is>
          <t>Section 2 — Q1 scenario feedback</t>
        </is>
      </c>
      <c r="C8" s="11" t="inlineStr">
        <is>
          <t>ERMS Section 6 — Risk Governance; Delegations of Authority</t>
        </is>
      </c>
      <c r="D8" s="11" t="inlineStr">
        <is>
          <t>CPS 220 — governance and accountability</t>
        </is>
      </c>
      <c r="E8" s="11" t="inlineStr">
        <is>
          <t>Quiz scoring (Q1); reference code with pass/fail status</t>
        </is>
      </c>
    </row>
    <row r="9" ht="64" customHeight="1">
      <c r="A9" s="11" t="inlineStr">
        <is>
          <t>Understand the Three Lines of Defence (3LoD) model and identify Line 1 ownership</t>
        </is>
      </c>
      <c r="B9" s="11" t="inlineStr">
        <is>
          <t>Section 2 — Concept; Q2 scenario</t>
        </is>
      </c>
      <c r="C9" s="11" t="inlineStr">
        <is>
          <t>ERMS Section 7 — Risk Organisation &amp; Design; Appendix B; Appendix C</t>
        </is>
      </c>
      <c r="D9" s="11" t="inlineStr">
        <is>
          <t>CPS 220 — three lines of defence governance model</t>
        </is>
      </c>
      <c r="E9" s="11" t="inlineStr">
        <is>
          <t>Q2 scenario (who owns the risk?) tests Line 1 ownership understanding</t>
        </is>
      </c>
    </row>
    <row r="10" ht="64" customHeight="1">
      <c r="A10" s="11" t="inlineStr">
        <is>
          <t>Distinguish between an Incident (event-based) and an Issue (control gap-based)</t>
        </is>
      </c>
      <c r="B10" s="11" t="inlineStr">
        <is>
          <t>Section 3 — Concept; Q3 scenario</t>
        </is>
      </c>
      <c r="C10" s="11" t="inlineStr">
        <is>
          <t>Incident Management Policy Section 1; Issue Management Policy Section 1</t>
        </is>
      </c>
      <c r="D10" s="11" t="inlineStr">
        <is>
          <t>CPS 230 — incident management; CPS 220 — issue management</t>
        </is>
      </c>
      <c r="E10" s="11" t="inlineStr">
        <is>
          <t>Q3 scenario (Finance team supervisor approval) tests classification under ambiguity</t>
        </is>
      </c>
    </row>
    <row r="11" ht="64" customHeight="1">
      <c r="A11" s="11" t="inlineStr">
        <is>
          <t>Apply the personal obligation to act on risks identified in any area of the business</t>
        </is>
      </c>
      <c r="B11" s="11" t="inlineStr">
        <is>
          <t>Section 4 — Q4 scenario</t>
        </is>
      </c>
      <c r="C11" s="11" t="inlineStr">
        <is>
          <t>Incident Management Policy Section 2.3 — scope (all staff, all activities)</t>
        </is>
      </c>
      <c r="D11" s="11" t="inlineStr">
        <is>
          <t>CPS 220 — staff understanding of role; CPS 234 — capability proportionate to role</t>
        </is>
      </c>
      <c r="E11" s="11" t="inlineStr">
        <is>
          <t>Q4 scenario (unattended laptop) tests cross-team identification and immediate action</t>
        </is>
      </c>
    </row>
    <row r="12" ht="64" customHeight="1">
      <c r="A12" s="11" t="inlineStr">
        <is>
          <t>Apply the 'raise, don't classify' principle — escalate and let the framework classify</t>
        </is>
      </c>
      <c r="B12" s="11" t="inlineStr">
        <is>
          <t>Throughout — behavioural anchor + multiple scenario feedbacks</t>
        </is>
      </c>
      <c r="C12" s="11" t="inlineStr">
        <is>
          <t>Issue Management Procedure Section 6.2; Incident Management Policy Section 2.8</t>
        </is>
      </c>
      <c r="D12" s="11" t="inlineStr">
        <is>
          <t>CPS 220 — clear accountabilities for risk identification vs assessment</t>
        </is>
      </c>
      <c r="E12" s="11" t="inlineStr">
        <is>
          <t>Behavioural anchor card; reinforced in scenario feedback; final takeaway summary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32" customWidth="1" min="3" max="3"/>
    <col width="22" customWidth="1" min="4" max="4"/>
    <col width="32" customWidth="1" min="5" max="5"/>
  </cols>
  <sheetData>
    <row r="1" ht="30" customHeight="1">
      <c r="A1" s="8" t="inlineStr">
        <is>
          <t>Module 2 — Recognising and Reporting Incidents</t>
        </is>
      </c>
    </row>
    <row r="2" ht="20" customHeight="1">
      <c r="A2" s="9" t="inlineStr">
        <is>
          <t>Learning outcomes mapped to KeyInvest policies and APRA CPS standards</t>
        </is>
      </c>
    </row>
    <row r="3" ht="10" customHeight="1"/>
    <row r="4" ht="32" customHeight="1">
      <c r="A4" s="10" t="inlineStr">
        <is>
          <t>Learning Outcome</t>
        </is>
      </c>
      <c r="B4" s="10" t="inlineStr">
        <is>
          <t>Module Section</t>
        </is>
      </c>
      <c r="C4" s="10" t="inlineStr">
        <is>
          <t>KeyInvest Policy / Procedure</t>
        </is>
      </c>
      <c r="D4" s="10" t="inlineStr">
        <is>
          <t>CPS Alignment</t>
        </is>
      </c>
      <c r="E4" s="10" t="inlineStr">
        <is>
          <t>Evidence Captured</t>
        </is>
      </c>
    </row>
    <row r="5" ht="64" customHeight="1">
      <c r="A5" s="11" t="inlineStr">
        <is>
          <t>Recognise what counts as an Incident — including near-misses and events with potential to disrupt</t>
        </is>
      </c>
      <c r="B5" s="11" t="inlineStr">
        <is>
          <t>Section 1 — Foundation; Q1 scenario</t>
        </is>
      </c>
      <c r="C5" s="11" t="inlineStr">
        <is>
          <t>Incident Management Policy Section 1 — Policy Statement; definition of Incident</t>
        </is>
      </c>
      <c r="D5" s="11" t="inlineStr">
        <is>
          <t>CPS 230 — Operational Risk Management</t>
        </is>
      </c>
      <c r="E5" s="11" t="inlineStr">
        <is>
          <t>Q1 scenario (bulk payment near-miss) tests near-miss recognition</t>
        </is>
      </c>
    </row>
    <row r="6" ht="64" customHeight="1">
      <c r="A6" s="11" t="inlineStr">
        <is>
          <t>Identify the three Incident Types (Information Security, Operational Risk, Compliance)</t>
        </is>
      </c>
      <c r="B6" s="11" t="inlineStr">
        <is>
          <t>Section 1 — Foundation; Q2 scenario</t>
        </is>
      </c>
      <c r="C6" s="11" t="inlineStr">
        <is>
          <t>Incident Management Policy Section 2.7 — Incident Types</t>
        </is>
      </c>
      <c r="D6" s="11" t="inlineStr">
        <is>
          <t>CPS 230 — operational risk; CPS 234 — information security</t>
        </is>
      </c>
      <c r="E6" s="11" t="inlineStr">
        <is>
          <t>Q2 scenario (misdirected email) tests Incident Type classification under emotional pressure</t>
        </is>
      </c>
    </row>
    <row r="7" ht="64" customHeight="1">
      <c r="A7" s="11" t="inlineStr">
        <is>
          <t>Apply the four-step response: Assume — Escalate — Log — Let the framework decide</t>
        </is>
      </c>
      <c r="B7" s="11" t="inlineStr">
        <is>
          <t>Section 1 — Behavioural anchor; reinforced in all scenarios</t>
        </is>
      </c>
      <c r="C7" s="11" t="inlineStr">
        <is>
          <t>Incident Management Procedure (entire); Incident Management Policy Section 2.8</t>
        </is>
      </c>
      <c r="D7" s="11" t="inlineStr">
        <is>
          <t>CPS 220, CPS 230, CPS 234 — staff capability and response behaviour</t>
        </is>
      </c>
      <c r="E7" s="11" t="inlineStr">
        <is>
          <t>Behavioural anchor card; quiz feedback consistently reinforces each step</t>
        </is>
      </c>
    </row>
    <row r="8" ht="64" customHeight="1">
      <c r="A8" s="11" t="inlineStr">
        <is>
          <t>Understand the separation between Line 1 (identify/escalate/log/preserve) and Line 2 (classify/assess/determine reportability/notify)</t>
        </is>
      </c>
      <c r="B8" s="11" t="inlineStr">
        <is>
          <t>Section 1 — Your role vs Framework role table</t>
        </is>
      </c>
      <c r="C8" s="11" t="inlineStr">
        <is>
          <t>Incident Management Policy Section 2.6 — Incident Ownership and Accountabilities</t>
        </is>
      </c>
      <c r="D8" s="11" t="inlineStr">
        <is>
          <t>CPS 220 — three lines of defence; clear accountabilities</t>
        </is>
      </c>
      <c r="E8" s="11" t="inlineStr">
        <is>
          <t>Role comparison table; reinforced across all scenario feedback</t>
        </is>
      </c>
    </row>
    <row r="9" ht="64" customHeight="1">
      <c r="A9" s="11" t="inlineStr">
        <is>
          <t>Apply first-hour response: Contain, Tell your manager, Preserve evidence, Log it</t>
        </is>
      </c>
      <c r="B9" s="11" t="inlineStr">
        <is>
          <t>Section 3 — Q3 scenario + 'what good looks like' card</t>
        </is>
      </c>
      <c r="C9" s="11" t="inlineStr">
        <is>
          <t>Incident Management Procedure; Incident Management Policy Section 2.8</t>
        </is>
      </c>
      <c r="D9" s="11" t="inlineStr">
        <is>
          <t>CPS 230 — operational resilience response; CPS 234 — security incident response</t>
        </is>
      </c>
      <c r="E9" s="11" t="inlineStr">
        <is>
          <t>Q3 scenario (system outage) tests first-hour decision-making under pressure</t>
        </is>
      </c>
    </row>
    <row r="10" ht="64" customHeight="1">
      <c r="A10" s="11" t="inlineStr">
        <is>
          <t>Recognise that regulatory notification clocks start at discovery — including outside business hours</t>
        </is>
      </c>
      <c r="B10" s="11" t="inlineStr">
        <is>
          <t>Section 4 — Q4 scenario + Key Notifications timeline</t>
        </is>
      </c>
      <c r="C10" s="11" t="inlineStr">
        <is>
          <t>Incident Management Policy Section 2.8 — Key Notifications Matrix</t>
        </is>
      </c>
      <c r="D10" s="11" t="inlineStr">
        <is>
          <t>CPS 230 — 24-hour disruption notification; CPS 234 — 72-hour InfoSec notification</t>
        </is>
      </c>
      <c r="E10" s="11" t="inlineStr">
        <is>
          <t>Q4 scenario (weekend discovery) tests escalation outside hours; timeline visual</t>
        </is>
      </c>
    </row>
    <row r="11" ht="64" customHeight="1">
      <c r="A11" s="11" t="inlineStr">
        <is>
          <t>Log Incidents in Drova promptly and within required policy timeframes (typically within 24 hours of discovery)</t>
        </is>
      </c>
      <c r="B11" s="11" t="inlineStr">
        <is>
          <t>Throughout — concept section, scenarios, final takeaways</t>
        </is>
      </c>
      <c r="C11" s="11" t="inlineStr">
        <is>
          <t>Incident Management Policy Section 2.8 — Incident Reporting &amp; Escalation</t>
        </is>
      </c>
      <c r="D11" s="11" t="inlineStr">
        <is>
          <t>CPS 230, CPS 234 — timeliness of notification</t>
        </is>
      </c>
      <c r="E11" s="11" t="inlineStr">
        <is>
          <t>Multiple scenario feedback touchpoints; final takeaway summary</t>
        </is>
      </c>
    </row>
    <row r="12" ht="64" customHeight="1">
      <c r="A12" s="11" t="inlineStr">
        <is>
          <t>Understand that Incidents often lead to Issues — remediation tracked through the Issue Management Framework</t>
        </is>
      </c>
      <c r="B12" s="11" t="inlineStr">
        <is>
          <t>Q1 feedback + final takeaways (Module 3 bridge)</t>
        </is>
      </c>
      <c r="C12" s="11" t="inlineStr">
        <is>
          <t>Incident Management Policy Section 3.5; Issue Management Policy Section 2.7</t>
        </is>
      </c>
      <c r="D12" s="11" t="inlineStr">
        <is>
          <t>CPS 230 — operational risk remediation; CPS 220 — issue lifecycle</t>
        </is>
      </c>
      <c r="E12" s="11" t="inlineStr">
        <is>
          <t>Quiz feedback explicitly references Module 3 transition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32" customWidth="1" min="3" max="3"/>
    <col width="22" customWidth="1" min="4" max="4"/>
    <col width="32" customWidth="1" min="5" max="5"/>
  </cols>
  <sheetData>
    <row r="1" ht="30" customHeight="1">
      <c r="A1" s="8" t="inlineStr">
        <is>
          <t>Module 3 — Identifying and Raising Issues [In Development]</t>
        </is>
      </c>
    </row>
    <row r="2" ht="20" customHeight="1">
      <c r="A2" s="9" t="inlineStr">
        <is>
          <t>Planned learning outcomes — confirm on module build</t>
        </is>
      </c>
    </row>
    <row r="3" ht="10" customHeight="1"/>
    <row r="4" ht="32" customHeight="1">
      <c r="A4" s="10" t="inlineStr">
        <is>
          <t>Learning Outcome</t>
        </is>
      </c>
      <c r="B4" s="10" t="inlineStr">
        <is>
          <t>Module Section</t>
        </is>
      </c>
      <c r="C4" s="10" t="inlineStr">
        <is>
          <t>KeyInvest Policy / Procedure</t>
        </is>
      </c>
      <c r="D4" s="10" t="inlineStr">
        <is>
          <t>CPS Alignment</t>
        </is>
      </c>
      <c r="E4" s="10" t="inlineStr">
        <is>
          <t>Evidence Captured</t>
        </is>
      </c>
    </row>
    <row r="5" ht="64" customHeight="1">
      <c r="A5" s="11" t="inlineStr">
        <is>
          <t>Recognise an Issue as a control deficiency, weakness, or gap</t>
        </is>
      </c>
      <c r="B5" s="11" t="inlineStr">
        <is>
          <t>Section 1 — Foundation [planned]</t>
        </is>
      </c>
      <c r="C5" s="11" t="inlineStr">
        <is>
          <t>Issue Management Policy Section 1; Section 3 of Procedure</t>
        </is>
      </c>
      <c r="D5" s="11" t="inlineStr">
        <is>
          <t>CPS 220 — control framework integrity</t>
        </is>
      </c>
      <c r="E5" s="11" t="inlineStr">
        <is>
          <t>[To be confirmed on Module 3 build]</t>
        </is>
      </c>
    </row>
    <row r="6" ht="64" customHeight="1">
      <c r="A6" s="11" t="inlineStr">
        <is>
          <t>Identify the three Issue Types (Control Weakness/Gap, Remediation Activity, Risk Improvement Opportunity)</t>
        </is>
      </c>
      <c r="B6" s="11" t="inlineStr">
        <is>
          <t>Section 1 — Foundation [planned]</t>
        </is>
      </c>
      <c r="C6" s="11" t="inlineStr">
        <is>
          <t>Issue Management Procedure Section 3.1 — Issue Types</t>
        </is>
      </c>
      <c r="D6" s="11" t="inlineStr">
        <is>
          <t>CPS 220 — issue classification</t>
        </is>
      </c>
      <c r="E6" s="11" t="inlineStr">
        <is>
          <t>[To be confirmed]</t>
        </is>
      </c>
    </row>
    <row r="7" ht="64" customHeight="1">
      <c r="A7" s="11" t="inlineStr">
        <is>
          <t>Understand the Issue lifecycle: Draft → Open → Pending Closure → Closed (with Risk Accepted and Invalid as branches)</t>
        </is>
      </c>
      <c r="B7" s="11" t="inlineStr">
        <is>
          <t>Section 1 — Foundation [planned]</t>
        </is>
      </c>
      <c r="C7" s="11" t="inlineStr">
        <is>
          <t>Issue Management Procedure Section 6 — Issue Lifecycle</t>
        </is>
      </c>
      <c r="D7" s="11" t="inlineStr">
        <is>
          <t>CPS 220 — issue lifecycle management</t>
        </is>
      </c>
      <c r="E7" s="11" t="inlineStr">
        <is>
          <t>[To be confirmed]</t>
        </is>
      </c>
    </row>
    <row r="8" ht="64" customHeight="1">
      <c r="A8" s="11" t="inlineStr">
        <is>
          <t>Apply Issue Owner / Issue Manager / Action Owner accountabilities appropriately</t>
        </is>
      </c>
      <c r="B8" s="11" t="inlineStr">
        <is>
          <t>Section 2 — Q1 scenario [planned]</t>
        </is>
      </c>
      <c r="C8" s="11" t="inlineStr">
        <is>
          <t>Issue Management Procedure Section 5 — Roles and Responsibilities</t>
        </is>
      </c>
      <c r="D8" s="11" t="inlineStr">
        <is>
          <t>CPS 220 — clear accountabilities</t>
        </is>
      </c>
      <c r="E8" s="11" t="inlineStr">
        <is>
          <t>[To be confirmed]</t>
        </is>
      </c>
    </row>
    <row r="9" ht="64" customHeight="1">
      <c r="A9" s="11" t="inlineStr">
        <is>
          <t>Recognise that an Issue raised early is materially better than one raised late</t>
        </is>
      </c>
      <c r="B9" s="11" t="inlineStr">
        <is>
          <t>Section 2 — Q2 scenario [planned]</t>
        </is>
      </c>
      <c r="C9" s="11" t="inlineStr">
        <is>
          <t>Issue Management Procedure Section 6.1 — Identification &amp; Initial Logging</t>
        </is>
      </c>
      <c r="D9" s="11" t="inlineStr">
        <is>
          <t>CPS 220 — proactive risk management</t>
        </is>
      </c>
      <c r="E9" s="11" t="inlineStr">
        <is>
          <t>[To be confirmed]</t>
        </is>
      </c>
    </row>
    <row r="10" ht="64" customHeight="1">
      <c r="A10" s="11" t="inlineStr">
        <is>
          <t>Understand evidence requirements for Issue closure and the role of Line 2 verification</t>
        </is>
      </c>
      <c r="B10" s="11" t="inlineStr">
        <is>
          <t>Section 3 — Q3 scenario [planned]</t>
        </is>
      </c>
      <c r="C10" s="11" t="inlineStr">
        <is>
          <t>Issue Management Procedure Section 6.4 — Evidence Requirements; Section 6.6 — Closure</t>
        </is>
      </c>
      <c r="D10" s="11" t="inlineStr">
        <is>
          <t>CPS 230, CPS 234 — verification of remediation effectiveness</t>
        </is>
      </c>
      <c r="E10" s="11" t="inlineStr">
        <is>
          <t>[To be confirmed]</t>
        </is>
      </c>
    </row>
    <row r="11" ht="64" customHeight="1">
      <c r="A11" s="11" t="inlineStr">
        <is>
          <t>Apply Risk Acceptance as a controlled exception path — not a workaround</t>
        </is>
      </c>
      <c r="B11" s="11" t="inlineStr">
        <is>
          <t>Section 4 — Q4 scenario [planned]</t>
        </is>
      </c>
      <c r="C11" s="11" t="inlineStr">
        <is>
          <t>Issue Management Policy Section 2.11; Procedure Section 6.5</t>
        </is>
      </c>
      <c r="D11" s="11" t="inlineStr">
        <is>
          <t>CPS 220 — risk acceptance governance</t>
        </is>
      </c>
      <c r="E11" s="11" t="inlineStr">
        <is>
          <t>[To be confirmed]</t>
        </is>
      </c>
    </row>
    <row r="12" ht="64" customHeight="1">
      <c r="A12" s="11" t="inlineStr">
        <is>
          <t>Raise Issues in Drova promptly and within required policy timeframes (typically within 5 business days of identification)</t>
        </is>
      </c>
      <c r="B12" s="11" t="inlineStr">
        <is>
          <t>Throughout [planned]</t>
        </is>
      </c>
      <c r="C12" s="11" t="inlineStr">
        <is>
          <t>Issue Management Procedure Section 6.1</t>
        </is>
      </c>
      <c r="D12" s="11" t="inlineStr">
        <is>
          <t>CPS 220 — timeliness of issue raising</t>
        </is>
      </c>
      <c r="E12" s="11" t="inlineStr">
        <is>
          <t>[To be confirmed]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3" customWidth="1" min="4" max="4"/>
    <col width="13" customWidth="1" min="5" max="5"/>
    <col width="38" customWidth="1" min="6" max="6"/>
  </cols>
  <sheetData>
    <row r="1" ht="30" customHeight="1">
      <c r="A1" s="12" t="inlineStr">
        <is>
          <t>CPS Coverage Matrix — which modules cover which prudential standard clauses</t>
        </is>
      </c>
    </row>
    <row r="2" ht="10" customHeight="1"/>
    <row r="3" ht="32" customHeight="1">
      <c r="A3" s="10" t="inlineStr">
        <is>
          <t>CPS Standard</t>
        </is>
      </c>
      <c r="B3" s="10" t="inlineStr">
        <is>
          <t>Requirement Area</t>
        </is>
      </c>
      <c r="C3" s="10" t="inlineStr">
        <is>
          <t>Module 1</t>
        </is>
      </c>
      <c r="D3" s="10" t="inlineStr">
        <is>
          <t>Module 2</t>
        </is>
      </c>
      <c r="E3" s="10" t="inlineStr">
        <is>
          <t>Module 3</t>
        </is>
      </c>
      <c r="F3" s="10" t="inlineStr">
        <is>
          <t>Evidence Notes</t>
        </is>
      </c>
    </row>
    <row r="4" ht="42" customHeight="1">
      <c r="A4" s="11" t="inlineStr">
        <is>
          <t>CPS 220</t>
        </is>
      </c>
      <c r="B4" s="11" t="inlineStr">
        <is>
          <t>Risk Management Framework — staff understanding</t>
        </is>
      </c>
      <c r="C4" s="13" t="inlineStr">
        <is>
          <t>Primary</t>
        </is>
      </c>
      <c r="D4" s="14" t="inlineStr">
        <is>
          <t>Reinforcing</t>
        </is>
      </c>
      <c r="E4" s="14" t="inlineStr">
        <is>
          <t>Reinforcing</t>
        </is>
      </c>
      <c r="F4" s="11" t="inlineStr">
        <is>
          <t>Module 1 establishes the framework; Modules 2 &amp; 3 operationalise it</t>
        </is>
      </c>
    </row>
    <row r="5" ht="42" customHeight="1">
      <c r="A5" s="11" t="inlineStr">
        <is>
          <t>CPS 220</t>
        </is>
      </c>
      <c r="B5" s="11" t="inlineStr">
        <is>
          <t>Three Lines of Defence governance</t>
        </is>
      </c>
      <c r="C5" s="13" t="inlineStr">
        <is>
          <t>Primary</t>
        </is>
      </c>
      <c r="D5" s="14" t="inlineStr">
        <is>
          <t>Reinforcing</t>
        </is>
      </c>
      <c r="E5" s="14" t="inlineStr">
        <is>
          <t>Reinforcing</t>
        </is>
      </c>
      <c r="F5" s="11" t="inlineStr">
        <is>
          <t>3LoD introduced in M1; role separation reinforced in M2 (Your role vs Framework role) and M3</t>
        </is>
      </c>
    </row>
    <row r="6" ht="42" customHeight="1">
      <c r="A6" s="11" t="inlineStr">
        <is>
          <t>CPS 220</t>
        </is>
      </c>
      <c r="B6" s="11" t="inlineStr">
        <is>
          <t>Risk appetite and operating within boundaries</t>
        </is>
      </c>
      <c r="C6" s="13" t="inlineStr">
        <is>
          <t>Primary</t>
        </is>
      </c>
      <c r="D6" s="11" t="inlineStr">
        <is>
          <t>—</t>
        </is>
      </c>
      <c r="E6" s="14" t="inlineStr">
        <is>
          <t>Reinforcing</t>
        </is>
      </c>
      <c r="F6" s="11" t="inlineStr">
        <is>
          <t>M1 Q1 scenario tests behavioural response to appetite breach</t>
        </is>
      </c>
    </row>
    <row r="7" ht="42" customHeight="1">
      <c r="A7" s="11" t="inlineStr">
        <is>
          <t>CPS 220</t>
        </is>
      </c>
      <c r="B7" s="11" t="inlineStr">
        <is>
          <t>Issue management lifecycle</t>
        </is>
      </c>
      <c r="C7" s="15" t="inlineStr">
        <is>
          <t>Foundational</t>
        </is>
      </c>
      <c r="D7" s="15" t="inlineStr">
        <is>
          <t>Foundational</t>
        </is>
      </c>
      <c r="E7" s="13" t="inlineStr">
        <is>
          <t>Primary</t>
        </is>
      </c>
      <c r="F7" s="11" t="inlineStr">
        <is>
          <t>M3 covers full lifecycle; M1 &amp; M2 introduce the concept</t>
        </is>
      </c>
    </row>
    <row r="8" ht="42" customHeight="1">
      <c r="A8" s="11" t="inlineStr">
        <is>
          <t>CPS 230</t>
        </is>
      </c>
      <c r="B8" s="11" t="inlineStr">
        <is>
          <t>Operational Risk Management — incident response</t>
        </is>
      </c>
      <c r="C8" s="15" t="inlineStr">
        <is>
          <t>Foundational</t>
        </is>
      </c>
      <c r="D8" s="13" t="inlineStr">
        <is>
          <t>Primary</t>
        </is>
      </c>
      <c r="E8" s="14" t="inlineStr">
        <is>
          <t>Reinforcing</t>
        </is>
      </c>
      <c r="F8" s="11" t="inlineStr">
        <is>
          <t>M2 covers Operational Risk Incidents in depth; M3 covers remediation</t>
        </is>
      </c>
    </row>
    <row r="9" ht="42" customHeight="1">
      <c r="A9" s="11" t="inlineStr">
        <is>
          <t>CPS 230</t>
        </is>
      </c>
      <c r="B9" s="11" t="inlineStr">
        <is>
          <t>Critical operations — disruption response</t>
        </is>
      </c>
      <c r="C9" s="11" t="inlineStr">
        <is>
          <t>—</t>
        </is>
      </c>
      <c r="D9" s="13" t="inlineStr">
        <is>
          <t>Primary</t>
        </is>
      </c>
      <c r="E9" s="11" t="inlineStr">
        <is>
          <t>—</t>
        </is>
      </c>
      <c r="F9" s="11" t="inlineStr">
        <is>
          <t>M2 Q3 (system outage) tests critical operations response</t>
        </is>
      </c>
    </row>
    <row r="10" ht="42" customHeight="1">
      <c r="A10" s="11" t="inlineStr">
        <is>
          <t>CPS 230</t>
        </is>
      </c>
      <c r="B10" s="11" t="inlineStr">
        <is>
          <t>24-hour APRA notification trigger</t>
        </is>
      </c>
      <c r="C10" s="11" t="inlineStr">
        <is>
          <t>—</t>
        </is>
      </c>
      <c r="D10" s="13" t="inlineStr">
        <is>
          <t>Primary</t>
        </is>
      </c>
      <c r="E10" s="11" t="inlineStr">
        <is>
          <t>—</t>
        </is>
      </c>
      <c r="F10" s="11" t="inlineStr">
        <is>
          <t>M2 timeline visual; Q4 (weekend discovery) tests application</t>
        </is>
      </c>
    </row>
    <row r="11" ht="42" customHeight="1">
      <c r="A11" s="11" t="inlineStr">
        <is>
          <t>CPS 230</t>
        </is>
      </c>
      <c r="B11" s="11" t="inlineStr">
        <is>
          <t>Material Service Provider weakness reporting</t>
        </is>
      </c>
      <c r="C11" s="11" t="inlineStr">
        <is>
          <t>—</t>
        </is>
      </c>
      <c r="D11" s="15" t="inlineStr">
        <is>
          <t>Foundational</t>
        </is>
      </c>
      <c r="E11" s="15" t="inlineStr">
        <is>
          <t>Foundational</t>
        </is>
      </c>
      <c r="F11" s="11" t="inlineStr">
        <is>
          <t>Covered conceptually; depth in Manager stream modules (planned)</t>
        </is>
      </c>
    </row>
    <row r="12" ht="42" customHeight="1">
      <c r="A12" s="11" t="inlineStr">
        <is>
          <t>CPS 234</t>
        </is>
      </c>
      <c r="B12" s="11" t="inlineStr">
        <is>
          <t>Information Security — staff capability</t>
        </is>
      </c>
      <c r="C12" s="15" t="inlineStr">
        <is>
          <t>Foundational</t>
        </is>
      </c>
      <c r="D12" s="13" t="inlineStr">
        <is>
          <t>Primary</t>
        </is>
      </c>
      <c r="E12" s="14" t="inlineStr">
        <is>
          <t>Reinforcing</t>
        </is>
      </c>
      <c r="F12" s="11" t="inlineStr">
        <is>
          <t>M2 covers InfoSec Incidents; cyber-specific module exists separately</t>
        </is>
      </c>
    </row>
    <row r="13" ht="42" customHeight="1">
      <c r="A13" s="11" t="inlineStr">
        <is>
          <t>CPS 234</t>
        </is>
      </c>
      <c r="B13" s="11" t="inlineStr">
        <is>
          <t>Information security incident response</t>
        </is>
      </c>
      <c r="C13" s="11" t="inlineStr">
        <is>
          <t>—</t>
        </is>
      </c>
      <c r="D13" s="13" t="inlineStr">
        <is>
          <t>Primary</t>
        </is>
      </c>
      <c r="E13" s="11" t="inlineStr">
        <is>
          <t>—</t>
        </is>
      </c>
      <c r="F13" s="11" t="inlineStr">
        <is>
          <t>M2 Q2 (misdirected email) and Q4 (weekend discovery) test InfoSec response</t>
        </is>
      </c>
    </row>
    <row r="14" ht="42" customHeight="1">
      <c r="A14" s="11" t="inlineStr">
        <is>
          <t>CPS 234</t>
        </is>
      </c>
      <c r="B14" s="11" t="inlineStr">
        <is>
          <t>72-hour material InfoSec notification</t>
        </is>
      </c>
      <c r="C14" s="11" t="inlineStr">
        <is>
          <t>—</t>
        </is>
      </c>
      <c r="D14" s="13" t="inlineStr">
        <is>
          <t>Primary</t>
        </is>
      </c>
      <c r="E14" s="11" t="inlineStr">
        <is>
          <t>—</t>
        </is>
      </c>
      <c r="F14" s="11" t="inlineStr">
        <is>
          <t>M2 timeline visual</t>
        </is>
      </c>
    </row>
    <row r="15" ht="42" customHeight="1">
      <c r="A15" s="11" t="inlineStr">
        <is>
          <t>CPS 234</t>
        </is>
      </c>
      <c r="B15" s="11" t="inlineStr">
        <is>
          <t>Control weakness remediation</t>
        </is>
      </c>
      <c r="C15" s="11" t="inlineStr">
        <is>
          <t>—</t>
        </is>
      </c>
      <c r="D15" s="15" t="inlineStr">
        <is>
          <t>Foundational</t>
        </is>
      </c>
      <c r="E15" s="13" t="inlineStr">
        <is>
          <t>Primary</t>
        </is>
      </c>
      <c r="F15" s="11" t="inlineStr">
        <is>
          <t>M3 covers Issue-based remediation of InfoSec control weaknesses</t>
        </is>
      </c>
    </row>
    <row r="17">
      <c r="A17" s="16" t="inlineStr">
        <is>
          <t>Legend:</t>
        </is>
      </c>
      <c r="B17" s="17" t="inlineStr">
        <is>
          <t>Primary</t>
        </is>
      </c>
      <c r="C17" s="18">
        <f> module is the main coverage of this requirement</f>
        <v/>
      </c>
    </row>
    <row r="18">
      <c r="B18" s="19" t="inlineStr">
        <is>
          <t>Reinforcing</t>
        </is>
      </c>
      <c r="C18" s="18">
        <f> module reinforces / references this requirement</f>
        <v/>
      </c>
    </row>
    <row r="19">
      <c r="B19" s="20" t="inlineStr">
        <is>
          <t>Foundational</t>
        </is>
      </c>
      <c r="C19" s="18">
        <f> module establishes baseline awareness; depth covered elsewhere</f>
        <v/>
      </c>
    </row>
  </sheetData>
  <mergeCells count="4">
    <mergeCell ref="C19:F19"/>
    <mergeCell ref="C18:F18"/>
    <mergeCell ref="A1:F1"/>
    <mergeCell ref="C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0" customHeight="1">
      <c r="A1" s="12" t="inlineStr">
        <is>
          <t>Evidence Map — what each module evidences for APRA, KIT 3.1 and Internal Audit</t>
        </is>
      </c>
    </row>
    <row r="2" ht="10" customHeight="1"/>
    <row r="3" ht="32" customHeight="1">
      <c r="A3" s="10" t="inlineStr">
        <is>
          <t>Evidence Requirement</t>
        </is>
      </c>
      <c r="B3" s="10" t="inlineStr">
        <is>
          <t>Module 1</t>
        </is>
      </c>
      <c r="C3" s="10" t="inlineStr">
        <is>
          <t>Module 2</t>
        </is>
      </c>
      <c r="D3" s="10" t="inlineStr">
        <is>
          <t>Module 3</t>
        </is>
      </c>
    </row>
    <row r="4" ht="60" customHeight="1">
      <c r="A4" s="11" t="inlineStr">
        <is>
          <t>Policies documented and accessible to staff</t>
        </is>
      </c>
      <c r="B4" s="11" t="inlineStr">
        <is>
          <t>Policy anchoring card cites ERMS, Incident Policy, Issue Policy, RAS</t>
        </is>
      </c>
      <c r="C4" s="11" t="inlineStr">
        <is>
          <t>Policy anchoring card cites Incident Policy &amp; Procedure, ERMS, Key Notifications Matrix</t>
        </is>
      </c>
      <c r="D4" s="11" t="inlineStr">
        <is>
          <t>[Planned] Policy anchoring card will cite Issue Policy &amp; Procedure</t>
        </is>
      </c>
    </row>
    <row r="5" ht="60" customHeight="1">
      <c r="A5" s="11" t="inlineStr">
        <is>
          <t>Procedures operationalised — staff understand how to apply</t>
        </is>
      </c>
      <c r="B5" s="11" t="inlineStr">
        <is>
          <t>Scenarios translate ERMS principles into day-to-day decisions</t>
        </is>
      </c>
      <c r="C5" s="11" t="inlineStr">
        <is>
          <t>Scenarios translate Incident Procedure into first-hour behaviour</t>
        </is>
      </c>
      <c r="D5" s="11" t="inlineStr">
        <is>
          <t>[Planned] Scenarios translate Issue Procedure into raise/remediate behaviour</t>
        </is>
      </c>
    </row>
    <row r="6" ht="60" customHeight="1">
      <c r="A6" s="11" t="inlineStr">
        <is>
          <t>Staff trained — evidenced completion</t>
        </is>
      </c>
      <c r="B6" s="11" t="inlineStr">
        <is>
          <t>Completion declaration with name, role, date, time, score, reference code</t>
        </is>
      </c>
      <c r="C6" s="11" t="inlineStr">
        <is>
          <t>Completion declaration with name, role, date, time, score, reference code</t>
        </is>
      </c>
      <c r="D6" s="11" t="inlineStr">
        <is>
          <t>[Planned] Same completion pattern</t>
        </is>
      </c>
    </row>
    <row r="7" ht="60" customHeight="1">
      <c r="A7" s="11" t="inlineStr">
        <is>
          <t>Understanding tested — comprehension evidenced</t>
        </is>
      </c>
      <c r="B7" s="11" t="inlineStr">
        <is>
          <t>Quiz score (4 scenarios, pass mark 75%)</t>
        </is>
      </c>
      <c r="C7" s="11" t="inlineStr">
        <is>
          <t>Quiz score (4 scenarios, pass mark 75%)</t>
        </is>
      </c>
      <c r="D7" s="11" t="inlineStr">
        <is>
          <t>[Planned] Quiz score (4 scenarios, pass mark 75%)</t>
        </is>
      </c>
    </row>
    <row r="8" ht="60" customHeight="1">
      <c r="A8" s="11" t="inlineStr">
        <is>
          <t>Records transmitted to LMS for APRA reporting</t>
        </is>
      </c>
      <c r="B8" s="11" t="inlineStr">
        <is>
          <t>SCORM 1.2 — cmi.core.score.raw, cmi.core.lesson_status, cmi.suspend_data</t>
        </is>
      </c>
      <c r="C8" s="11" t="inlineStr">
        <is>
          <t>SCORM 1.2 — cmi.core.score.raw, cmi.core.lesson_status, cmi.suspend_data</t>
        </is>
      </c>
      <c r="D8" s="11" t="inlineStr">
        <is>
          <t>[Planned] Same SCORM pattern</t>
        </is>
      </c>
    </row>
    <row r="9" ht="60" customHeight="1">
      <c r="A9" s="11" t="inlineStr">
        <is>
          <t>Behavioural intent (not just awareness) evidenced</t>
        </is>
      </c>
      <c r="B9" s="11" t="inlineStr">
        <is>
          <t>Scenario-based decision-making with feedback explaining correct/incorrect responses</t>
        </is>
      </c>
      <c r="C9" s="11" t="inlineStr">
        <is>
          <t>Scenario-based decision-making with feedback explaining correct/incorrect responses</t>
        </is>
      </c>
      <c r="D9" s="11" t="inlineStr">
        <is>
          <t>[Planned] Same scenario pattern</t>
        </is>
      </c>
    </row>
    <row r="10" ht="60" customHeight="1">
      <c r="A10" s="11" t="inlineStr">
        <is>
          <t>Cultural shift evidenced — 'raise, don't classify' principle</t>
        </is>
      </c>
      <c r="B10" s="11" t="inlineStr">
        <is>
          <t>Behavioural anchor + reinforced in scenario feedback + final takeaway</t>
        </is>
      </c>
      <c r="C10" s="11" t="inlineStr">
        <is>
          <t>Behavioural anchor + Your role vs Framework role table + reinforced throughout</t>
        </is>
      </c>
      <c r="D10" s="11" t="inlineStr">
        <is>
          <t>[Planned] Same anchoring pattern</t>
        </is>
      </c>
    </row>
    <row r="11" ht="60" customHeight="1">
      <c r="A11" s="11" t="inlineStr">
        <is>
          <t>KIT 3.1 closure evidence</t>
        </is>
      </c>
      <c r="B11" s="11" t="inlineStr">
        <is>
          <t>Module 1 evidences staff understanding of risk framework (ERMS closure criterion)</t>
        </is>
      </c>
      <c r="C11" s="11" t="inlineStr">
        <is>
          <t>Module 2 evidences staff understanding of Incident response (Incident closure criterion)</t>
        </is>
      </c>
      <c r="D11" s="11" t="inlineStr">
        <is>
          <t>[Planned] Module 3 evidences staff understanding of Issue lifecycle (Issue closure criterion)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2026-05-12T11:11:17Z</dcterms:created>
  <dcterms:modified xmlns:dcterms="http://purl.org/dc/terms/" xmlns:xsi="http://www.w3.org/2001/XMLSchema-instance" xsi:type="dcterms:W3CDTF">2026-05-12T11:11:17Z</dcterms:modified>
</cp:coreProperties>
</file>